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hashkar\Downloads\New folder\"/>
    </mc:Choice>
  </mc:AlternateContent>
  <xr:revisionPtr revIDLastSave="0" documentId="13_ncr:1_{36709884-357D-4619-AC2E-A4FC3C998810}" xr6:coauthVersionLast="47" xr6:coauthVersionMax="47" xr10:uidLastSave="{00000000-0000-0000-0000-000000000000}"/>
  <bookViews>
    <workbookView xWindow="-108" yWindow="-108" windowWidth="23256" windowHeight="13896" activeTab="2" xr2:uid="{6466C36A-EECE-4D02-9047-74971AB0BF2A}"/>
  </bookViews>
  <sheets>
    <sheet name="FinancialData" sheetId="1" r:id="rId1"/>
    <sheet name="PivotData" sheetId="4" r:id="rId2"/>
    <sheet name="Dashboard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F4" i="2"/>
  <c r="D4" i="2"/>
  <c r="B4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3" i="1"/>
</calcChain>
</file>

<file path=xl/sharedStrings.xml><?xml version="1.0" encoding="utf-8"?>
<sst xmlns="http://schemas.openxmlformats.org/spreadsheetml/2006/main" count="162" uniqueCount="33">
  <si>
    <t>Month</t>
  </si>
  <si>
    <t>Division</t>
  </si>
  <si>
    <t>Revenue</t>
  </si>
  <si>
    <t>Cost</t>
  </si>
  <si>
    <t>Profit</t>
  </si>
  <si>
    <t>Jan</t>
  </si>
  <si>
    <t>Feb</t>
  </si>
  <si>
    <t>Mar</t>
  </si>
  <si>
    <t>Apr</t>
  </si>
  <si>
    <t>May</t>
  </si>
  <si>
    <t>Aug</t>
  </si>
  <si>
    <t>Sep</t>
  </si>
  <si>
    <t>Oct</t>
  </si>
  <si>
    <t>Nov</t>
  </si>
  <si>
    <t>Dec</t>
  </si>
  <si>
    <t>North</t>
  </si>
  <si>
    <t>South</t>
  </si>
  <si>
    <t>East</t>
  </si>
  <si>
    <t>West</t>
  </si>
  <si>
    <t>Profit Margin %</t>
  </si>
  <si>
    <t>Total Revenue</t>
  </si>
  <si>
    <t>Total Cost</t>
  </si>
  <si>
    <t>Total Profit</t>
  </si>
  <si>
    <t>Avg Profit Margin %</t>
  </si>
  <si>
    <t>Row Labels</t>
  </si>
  <si>
    <t>Grand Total</t>
  </si>
  <si>
    <t>Sum of Revenue</t>
  </si>
  <si>
    <t>Sum of Cost</t>
  </si>
  <si>
    <t>Sum of Profit</t>
  </si>
  <si>
    <t>Average of Profit Margin %</t>
  </si>
  <si>
    <t>Jun</t>
  </si>
  <si>
    <t>Jul</t>
  </si>
  <si>
    <t>Financial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</si>
</sst>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10" fontId="1" fillId="2" borderId="0" xfId="0" applyNumberFormat="1" applyFont="1" applyFill="1"/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2" formatCode="0.0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[Financial-Dashboard.xlsx]PivotData!PivotTable1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Financial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PivotData!$B$3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PivotData!$A$4:$A$16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PivotData!$B$4:$B$16</c:f>
              <c:numCache>
                <c:formatCode>#,##0</c:formatCode>
                <c:ptCount val="12"/>
                <c:pt idx="0">
                  <c:v>413000</c:v>
                </c:pt>
                <c:pt idx="1">
                  <c:v>430000</c:v>
                </c:pt>
                <c:pt idx="2">
                  <c:v>449000</c:v>
                </c:pt>
                <c:pt idx="3">
                  <c:v>454000</c:v>
                </c:pt>
                <c:pt idx="4">
                  <c:v>470000</c:v>
                </c:pt>
                <c:pt idx="5">
                  <c:v>488000</c:v>
                </c:pt>
                <c:pt idx="6">
                  <c:v>490000</c:v>
                </c:pt>
                <c:pt idx="7">
                  <c:v>504000</c:v>
                </c:pt>
                <c:pt idx="8">
                  <c:v>516000</c:v>
                </c:pt>
                <c:pt idx="9">
                  <c:v>534000</c:v>
                </c:pt>
                <c:pt idx="10">
                  <c:v>549000</c:v>
                </c:pt>
                <c:pt idx="11">
                  <c:v>571000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7E-4ED2-BB8A-45927EE56FA4}"/>
            </c:ext>
          </c:extLst>
        </c:ser>
        <c:ser>
          <c:idx val="1"/>
          <c:order val="1"/>
          <c:tx>
            <c:strRef>
              <c:f>PivotData!$C$3</c:f>
              <c:strCache>
                <c:ptCount val="1"/>
                <c:pt idx="0">
                  <c:v>Sum of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PivotData!$A$4:$A$16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PivotData!$C$4:$C$16</c:f>
              <c:numCache>
                <c:formatCode>#,##0</c:formatCode>
                <c:ptCount val="12"/>
                <c:pt idx="0">
                  <c:v>300000</c:v>
                </c:pt>
                <c:pt idx="1">
                  <c:v>309000</c:v>
                </c:pt>
                <c:pt idx="2">
                  <c:v>318000</c:v>
                </c:pt>
                <c:pt idx="3">
                  <c:v>322000</c:v>
                </c:pt>
                <c:pt idx="4">
                  <c:v>332000</c:v>
                </c:pt>
                <c:pt idx="5">
                  <c:v>342000</c:v>
                </c:pt>
                <c:pt idx="6">
                  <c:v>343000</c:v>
                </c:pt>
                <c:pt idx="7">
                  <c:v>353000</c:v>
                </c:pt>
                <c:pt idx="8">
                  <c:v>361000</c:v>
                </c:pt>
                <c:pt idx="9">
                  <c:v>371000</c:v>
                </c:pt>
                <c:pt idx="10">
                  <c:v>380000</c:v>
                </c:pt>
                <c:pt idx="11">
                  <c:v>394000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7E-4ED2-BB8A-45927EE56FA4}"/>
            </c:ext>
          </c:extLst>
        </c:ser>
        <c:ser>
          <c:idx val="2"/>
          <c:order val="2"/>
          <c:tx>
            <c:strRef>
              <c:f>PivotData!$D$3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PivotData!$A$4:$A$16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PivotData!$D$4:$D$16</c:f>
              <c:numCache>
                <c:formatCode>#,##0</c:formatCode>
                <c:ptCount val="12"/>
                <c:pt idx="0">
                  <c:v>113000</c:v>
                </c:pt>
                <c:pt idx="1">
                  <c:v>121000</c:v>
                </c:pt>
                <c:pt idx="2">
                  <c:v>131000</c:v>
                </c:pt>
                <c:pt idx="3">
                  <c:v>132000</c:v>
                </c:pt>
                <c:pt idx="4">
                  <c:v>138000</c:v>
                </c:pt>
                <c:pt idx="5">
                  <c:v>146000</c:v>
                </c:pt>
                <c:pt idx="6">
                  <c:v>147000</c:v>
                </c:pt>
                <c:pt idx="7">
                  <c:v>151000</c:v>
                </c:pt>
                <c:pt idx="8">
                  <c:v>155000</c:v>
                </c:pt>
                <c:pt idx="9">
                  <c:v>163000</c:v>
                </c:pt>
                <c:pt idx="10">
                  <c:v>169000</c:v>
                </c:pt>
                <c:pt idx="11">
                  <c:v>177000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7E-4ED2-BB8A-45927EE56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053775"/>
        <c:axId val="245050415"/>
      </c:lineChart>
      <c:catAx>
        <c:axId val="24505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50415"/>
        <c:crosses val="autoZero"/>
        <c:auto val="1"/>
        <c:lblAlgn val="ctr"/>
        <c:lblOffset val="100"/>
        <c:noMultiLvlLbl val="0"/>
      </c:catAx>
      <c:valAx>
        <c:axId val="24505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5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[Financial-Dashboard.xlsx]PivotData!PivotTable2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PivotData!$A$21:$A$25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PivotData!$B$21:$B$25</c:f>
              <c:numCache>
                <c:formatCode>#,##0</c:formatCode>
                <c:ptCount val="4"/>
                <c:pt idx="0">
                  <c:v>483000</c:v>
                </c:pt>
                <c:pt idx="1">
                  <c:v>535000</c:v>
                </c:pt>
                <c:pt idx="2">
                  <c:v>362000</c:v>
                </c:pt>
                <c:pt idx="3">
                  <c:v>363000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2-4C8F-B3EE-471E7EC942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13201583"/>
        <c:axId val="713210223"/>
      </c:barChart>
      <c:catAx>
        <c:axId val="71320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210223"/>
        <c:crosses val="autoZero"/>
        <c:auto val="1"/>
        <c:lblAlgn val="ctr"/>
        <c:lblOffset val="100"/>
        <c:noMultiLvlLbl val="0"/>
      </c:catAx>
      <c:valAx>
        <c:axId val="71321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20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[Financial-Dashboard.xlsx]PivotData!PivotTable4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vs Cost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PivotData!$B$30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PivotData!$A$31:$A$43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PivotData!$B$31:$B$43</c:f>
              <c:numCache>
                <c:formatCode>#,##0</c:formatCode>
                <c:ptCount val="12"/>
                <c:pt idx="0">
                  <c:v>413000</c:v>
                </c:pt>
                <c:pt idx="1">
                  <c:v>430000</c:v>
                </c:pt>
                <c:pt idx="2">
                  <c:v>449000</c:v>
                </c:pt>
                <c:pt idx="3">
                  <c:v>454000</c:v>
                </c:pt>
                <c:pt idx="4">
                  <c:v>470000</c:v>
                </c:pt>
                <c:pt idx="5">
                  <c:v>488000</c:v>
                </c:pt>
                <c:pt idx="6">
                  <c:v>490000</c:v>
                </c:pt>
                <c:pt idx="7">
                  <c:v>504000</c:v>
                </c:pt>
                <c:pt idx="8">
                  <c:v>516000</c:v>
                </c:pt>
                <c:pt idx="9">
                  <c:v>534000</c:v>
                </c:pt>
                <c:pt idx="10">
                  <c:v>549000</c:v>
                </c:pt>
                <c:pt idx="11">
                  <c:v>571000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3-403C-BAAB-95CFCF98FC22}"/>
            </c:ext>
          </c:extLst>
        </c:ser>
        <c:ser>
          <c:idx val="1"/>
          <c:order val="1"/>
          <c:tx>
            <c:strRef>
              <c:f>PivotData!$C$30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PivotData!$A$31:$A$43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PivotData!$C$31:$C$43</c:f>
              <c:numCache>
                <c:formatCode>#,##0</c:formatCode>
                <c:ptCount val="12"/>
                <c:pt idx="0">
                  <c:v>300000</c:v>
                </c:pt>
                <c:pt idx="1">
                  <c:v>309000</c:v>
                </c:pt>
                <c:pt idx="2">
                  <c:v>318000</c:v>
                </c:pt>
                <c:pt idx="3">
                  <c:v>322000</c:v>
                </c:pt>
                <c:pt idx="4">
                  <c:v>332000</c:v>
                </c:pt>
                <c:pt idx="5">
                  <c:v>342000</c:v>
                </c:pt>
                <c:pt idx="6">
                  <c:v>343000</c:v>
                </c:pt>
                <c:pt idx="7">
                  <c:v>353000</c:v>
                </c:pt>
                <c:pt idx="8">
                  <c:v>361000</c:v>
                </c:pt>
                <c:pt idx="9">
                  <c:v>371000</c:v>
                </c:pt>
                <c:pt idx="10">
                  <c:v>380000</c:v>
                </c:pt>
                <c:pt idx="11">
                  <c:v>394000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3-403C-BAAB-95CFCF98F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3248367"/>
        <c:axId val="333249807"/>
      </c:barChart>
      <c:catAx>
        <c:axId val="33324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49807"/>
        <c:crosses val="autoZero"/>
        <c:auto val="1"/>
        <c:lblAlgn val="ctr"/>
        <c:lblOffset val="100"/>
        <c:noMultiLvlLbl val="0"/>
      </c:catAx>
      <c:valAx>
        <c:axId val="33324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24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[Financial-Dashboard.xlsx]PivotData!PivotTable5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Margin %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PivotData!$G$3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PivotData!$F$4:$F$16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PivotData!$G$4:$G$16</c:f>
              <c:numCache>
                <c:formatCode>0.00</c:formatCode>
                <c:ptCount val="12"/>
                <c:pt idx="0">
                  <c:v>27.151116427432218</c:v>
                </c:pt>
                <c:pt idx="1">
                  <c:v>27.852883762200531</c:v>
                </c:pt>
                <c:pt idx="2">
                  <c:v>28.871037051184107</c:v>
                </c:pt>
                <c:pt idx="3">
                  <c:v>28.846138492654884</c:v>
                </c:pt>
                <c:pt idx="4">
                  <c:v>29.10718954248366</c:v>
                </c:pt>
                <c:pt idx="5">
                  <c:v>29.692229939871449</c:v>
                </c:pt>
                <c:pt idx="6">
                  <c:v>29.813896090945352</c:v>
                </c:pt>
                <c:pt idx="7">
                  <c:v>29.786261224253586</c:v>
                </c:pt>
                <c:pt idx="8">
                  <c:v>29.873320915299924</c:v>
                </c:pt>
                <c:pt idx="9">
                  <c:v>30.376750700280112</c:v>
                </c:pt>
                <c:pt idx="10">
                  <c:v>30.620216743051884</c:v>
                </c:pt>
                <c:pt idx="11">
                  <c:v>30.821224051539012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5-4945-A2C5-56484AA09C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3956831"/>
        <c:axId val="833973631"/>
      </c:lineChart>
      <c:catAx>
        <c:axId val="83395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73631"/>
        <c:crosses val="autoZero"/>
        <c:auto val="1"/>
        <c:lblAlgn val="ctr"/>
        <c:lblOffset val="100"/>
        <c:noMultiLvlLbl val="0"/>
      </c:catAx>
      <c:valAx>
        <c:axId val="83397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95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175260</xdr:rowOff>
    </xdr:from>
    <xdr:to>
      <xdr:col>6</xdr:col>
      <xdr:colOff>274320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15442C-0653-23B6-A010-DCFB33FA4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5</xdr:row>
      <xdr:rowOff>22860</xdr:rowOff>
    </xdr:from>
    <xdr:to>
      <xdr:col>15</xdr:col>
      <xdr:colOff>502920</xdr:colOff>
      <xdr:row>18</xdr:row>
      <xdr:rowOff>148590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ADA6D80E-183C-0FBB-B7B6-4DD6C02859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19</xdr:row>
      <xdr:rowOff>80010</xdr:rowOff>
    </xdr:from>
    <xdr:to>
      <xdr:col>6</xdr:col>
      <xdr:colOff>327660</xdr:colOff>
      <xdr:row>34</xdr:row>
      <xdr:rowOff>80010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AE542259-0A16-6290-D2A7-5B584BDBE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518160</xdr:colOff>
      <xdr:row>19</xdr:row>
      <xdr:rowOff>80010</xdr:rowOff>
    </xdr:from>
    <xdr:to>
      <xdr:col>15</xdr:col>
      <xdr:colOff>533400</xdr:colOff>
      <xdr:row>34</xdr:row>
      <xdr:rowOff>80010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877B35DC-7957-822F-8F07-6F35DF534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shkar" refreshedDate="46103.914847222222" createdVersion="8" refreshedVersion="8" minRefreshableVersion="3" recordCount="48" xr:uid="{E1C38A94-B940-49BF-9ACF-CB6119F91AF5}">
  <cacheSource type="worksheet">
    <worksheetSource name="Table1"/>
  </cacheSource>
  <cacheFields count="6">
    <cacheField name="Month" numFmtId="0">
      <sharedItems count="14">
        <s v="Jan"/>
        <s v="Feb"/>
        <s v="Mar"/>
        <s v="Apr"/>
        <s v="May"/>
        <s v="Jun"/>
        <s v="Jul"/>
        <s v="Aug"/>
        <s v="Sep"/>
        <s v="Oct"/>
        <s v="Nov"/>
        <s v="Dec"/>
        <s v="June" u="1"/>
        <s v="July" u="1"/>
      </sharedItems>
    </cacheField>
    <cacheField name="Division" numFmtId="0">
      <sharedItems count="4">
        <s v="North"/>
        <s v="South"/>
        <s v="East"/>
        <s v="West"/>
      </sharedItems>
    </cacheField>
    <cacheField name="Revenue" numFmtId="3">
      <sharedItems containsSemiMixedTypes="0" containsString="0" containsNumber="1" containsInteger="1" minValue="88000" maxValue="162000"/>
    </cacheField>
    <cacheField name="Cost" numFmtId="3">
      <sharedItems containsSemiMixedTypes="0" containsString="0" containsNumber="1" containsInteger="1" minValue="65000" maxValue="108000"/>
    </cacheField>
    <cacheField name="Profit" numFmtId="3">
      <sharedItems containsSemiMixedTypes="0" containsString="0" containsNumber="1" containsInteger="1" minValue="23000" maxValue="54000"/>
    </cacheField>
    <cacheField name="Profit Margin %" numFmtId="2">
      <sharedItems containsSemiMixedTypes="0" containsString="0" containsNumber="1" minValue="24.210526315789473" maxValue="33.3333333333333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120000"/>
    <n v="85000"/>
    <n v="35000"/>
    <n v="29.166666666666668"/>
  </r>
  <r>
    <x v="0"/>
    <x v="1"/>
    <n v="95000"/>
    <n v="72000"/>
    <n v="23000"/>
    <n v="24.210526315789473"/>
  </r>
  <r>
    <x v="0"/>
    <x v="2"/>
    <n v="110000"/>
    <n v="78000"/>
    <n v="32000"/>
    <n v="29.09090909090909"/>
  </r>
  <r>
    <x v="0"/>
    <x v="3"/>
    <n v="88000"/>
    <n v="65000"/>
    <n v="23000"/>
    <n v="26.136363636363637"/>
  </r>
  <r>
    <x v="1"/>
    <x v="0"/>
    <n v="125000"/>
    <n v="87000"/>
    <n v="38000"/>
    <n v="30.4"/>
  </r>
  <r>
    <x v="1"/>
    <x v="1"/>
    <n v="98000"/>
    <n v="74000"/>
    <n v="24000"/>
    <n v="24.489795918367346"/>
  </r>
  <r>
    <x v="1"/>
    <x v="2"/>
    <n v="115000"/>
    <n v="80000"/>
    <n v="35000"/>
    <n v="30.434782608695656"/>
  </r>
  <r>
    <x v="1"/>
    <x v="3"/>
    <n v="92000"/>
    <n v="68000"/>
    <n v="24000"/>
    <n v="26.086956521739129"/>
  </r>
  <r>
    <x v="2"/>
    <x v="0"/>
    <n v="132000"/>
    <n v="90000"/>
    <n v="42000"/>
    <n v="31.818181818181817"/>
  </r>
  <r>
    <x v="2"/>
    <x v="1"/>
    <n v="102000"/>
    <n v="76000"/>
    <n v="26000"/>
    <n v="25.490196078431371"/>
  </r>
  <r>
    <x v="2"/>
    <x v="2"/>
    <n v="119000"/>
    <n v="82000"/>
    <n v="37000"/>
    <n v="31.092436974789916"/>
  </r>
  <r>
    <x v="2"/>
    <x v="3"/>
    <n v="96000"/>
    <n v="70000"/>
    <n v="26000"/>
    <n v="27.083333333333332"/>
  </r>
  <r>
    <x v="3"/>
    <x v="0"/>
    <n v="128000"/>
    <n v="88000"/>
    <n v="40000"/>
    <n v="31.25"/>
  </r>
  <r>
    <x v="3"/>
    <x v="1"/>
    <n v="105000"/>
    <n v="78000"/>
    <n v="27000"/>
    <n v="25.714285714285712"/>
  </r>
  <r>
    <x v="3"/>
    <x v="2"/>
    <n v="122000"/>
    <n v="84000"/>
    <n v="38000"/>
    <n v="31.147540983606557"/>
  </r>
  <r>
    <x v="3"/>
    <x v="3"/>
    <n v="99000"/>
    <n v="72000"/>
    <n v="27000"/>
    <n v="27.27272727272727"/>
  </r>
  <r>
    <x v="4"/>
    <x v="0"/>
    <n v="135000"/>
    <n v="92000"/>
    <n v="43000"/>
    <n v="31.851851851851855"/>
  </r>
  <r>
    <x v="4"/>
    <x v="1"/>
    <n v="108000"/>
    <n v="80000"/>
    <n v="28000"/>
    <n v="25.925925925925924"/>
  </r>
  <r>
    <x v="4"/>
    <x v="2"/>
    <n v="125000"/>
    <n v="86000"/>
    <n v="39000"/>
    <n v="31.2"/>
  </r>
  <r>
    <x v="4"/>
    <x v="3"/>
    <n v="102000"/>
    <n v="74000"/>
    <n v="28000"/>
    <n v="27.450980392156865"/>
  </r>
  <r>
    <x v="5"/>
    <x v="0"/>
    <n v="140000"/>
    <n v="95000"/>
    <n v="45000"/>
    <n v="32.142857142857146"/>
  </r>
  <r>
    <x v="5"/>
    <x v="1"/>
    <n v="112000"/>
    <n v="82000"/>
    <n v="30000"/>
    <n v="26.785714285714285"/>
  </r>
  <r>
    <x v="5"/>
    <x v="2"/>
    <n v="130000"/>
    <n v="89000"/>
    <n v="41000"/>
    <n v="31.538461538461537"/>
  </r>
  <r>
    <x v="5"/>
    <x v="3"/>
    <n v="106000"/>
    <n v="76000"/>
    <n v="30000"/>
    <n v="28.30188679245283"/>
  </r>
  <r>
    <x v="6"/>
    <x v="0"/>
    <n v="138000"/>
    <n v="93000"/>
    <n v="45000"/>
    <n v="32.608695652173914"/>
  </r>
  <r>
    <x v="6"/>
    <x v="1"/>
    <n v="115000"/>
    <n v="84000"/>
    <n v="31000"/>
    <n v="26.956521739130434"/>
  </r>
  <r>
    <x v="6"/>
    <x v="2"/>
    <n v="128000"/>
    <n v="88000"/>
    <n v="40000"/>
    <n v="31.25"/>
  </r>
  <r>
    <x v="6"/>
    <x v="3"/>
    <n v="109000"/>
    <n v="78000"/>
    <n v="31000"/>
    <n v="28.440366972477065"/>
  </r>
  <r>
    <x v="7"/>
    <x v="0"/>
    <n v="142000"/>
    <n v="96000"/>
    <n v="46000"/>
    <n v="32.394366197183103"/>
  </r>
  <r>
    <x v="7"/>
    <x v="1"/>
    <n v="118000"/>
    <n v="86000"/>
    <n v="32000"/>
    <n v="27.118644067796609"/>
  </r>
  <r>
    <x v="7"/>
    <x v="2"/>
    <n v="132000"/>
    <n v="91000"/>
    <n v="41000"/>
    <n v="31.060606060606062"/>
  </r>
  <r>
    <x v="7"/>
    <x v="3"/>
    <n v="112000"/>
    <n v="80000"/>
    <n v="32000"/>
    <n v="28.571428571428569"/>
  </r>
  <r>
    <x v="8"/>
    <x v="0"/>
    <n v="145000"/>
    <n v="98000"/>
    <n v="47000"/>
    <n v="32.41379310344827"/>
  </r>
  <r>
    <x v="8"/>
    <x v="1"/>
    <n v="121000"/>
    <n v="88000"/>
    <n v="33000"/>
    <n v="27.27272727272727"/>
  </r>
  <r>
    <x v="8"/>
    <x v="2"/>
    <n v="135000"/>
    <n v="93000"/>
    <n v="42000"/>
    <n v="31.111111111111111"/>
  </r>
  <r>
    <x v="8"/>
    <x v="3"/>
    <n v="115000"/>
    <n v="82000"/>
    <n v="33000"/>
    <n v="28.695652173913043"/>
  </r>
  <r>
    <x v="9"/>
    <x v="0"/>
    <n v="150000"/>
    <n v="101000"/>
    <n v="49000"/>
    <n v="32.666666666666664"/>
  </r>
  <r>
    <x v="9"/>
    <x v="1"/>
    <n v="125000"/>
    <n v="90000"/>
    <n v="35000"/>
    <n v="28.000000000000004"/>
  </r>
  <r>
    <x v="9"/>
    <x v="2"/>
    <n v="140000"/>
    <n v="96000"/>
    <n v="44000"/>
    <n v="31.428571428571427"/>
  </r>
  <r>
    <x v="9"/>
    <x v="3"/>
    <n v="119000"/>
    <n v="84000"/>
    <n v="35000"/>
    <n v="29.411764705882355"/>
  </r>
  <r>
    <x v="10"/>
    <x v="0"/>
    <n v="155000"/>
    <n v="104000"/>
    <n v="51000"/>
    <n v="32.903225806451616"/>
  </r>
  <r>
    <x v="10"/>
    <x v="1"/>
    <n v="128000"/>
    <n v="92000"/>
    <n v="36000"/>
    <n v="28.125"/>
  </r>
  <r>
    <x v="10"/>
    <x v="2"/>
    <n v="144000"/>
    <n v="98000"/>
    <n v="46000"/>
    <n v="31.944444444444443"/>
  </r>
  <r>
    <x v="10"/>
    <x v="3"/>
    <n v="122000"/>
    <n v="86000"/>
    <n v="36000"/>
    <n v="29.508196721311474"/>
  </r>
  <r>
    <x v="11"/>
    <x v="0"/>
    <n v="162000"/>
    <n v="108000"/>
    <n v="54000"/>
    <n v="33.333333333333329"/>
  </r>
  <r>
    <x v="11"/>
    <x v="1"/>
    <n v="132000"/>
    <n v="95000"/>
    <n v="37000"/>
    <n v="28.030303030303028"/>
  </r>
  <r>
    <x v="11"/>
    <x v="2"/>
    <n v="150000"/>
    <n v="102000"/>
    <n v="48000"/>
    <n v="32"/>
  </r>
  <r>
    <x v="11"/>
    <x v="3"/>
    <n v="127000"/>
    <n v="89000"/>
    <n v="38000"/>
    <n v="29.9212598425196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0EFB8-B2A0-4C47-A129-D6278D41FBE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0:C43" firstHeaderRow="0" firstDataRow="1" firstDataCol="1"/>
  <pivotFields count="6">
    <pivotField axis="axisRow" showAll="0" sortType="ascending">
      <items count="15">
        <item x="0"/>
        <item x="1"/>
        <item x="2"/>
        <item x="3"/>
        <item x="4"/>
        <item x="5"/>
        <item x="6"/>
        <item x="7"/>
        <item m="1" x="12"/>
        <item m="1" x="13"/>
        <item x="8"/>
        <item x="9"/>
        <item x="10"/>
        <item x="11"/>
        <item t="default"/>
      </items>
    </pivotField>
    <pivotField showAll="0"/>
    <pivotField dataField="1" numFmtId="3" showAll="0"/>
    <pivotField dataField="1" numFmtId="3" showAll="0"/>
    <pivotField numFmtId="3" showAll="0"/>
    <pivotField numFmtId="2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" baseField="0" baseItem="0" numFmtId="3"/>
    <dataField name="Sum of Cost" fld="3" baseField="0" baseItem="0" numFmtId="3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E79B2-7F31-4F0F-9D21-69BC7CDD27D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B25" firstHeaderRow="1" firstDataRow="1" firstDataCol="1"/>
  <pivotFields count="6">
    <pivotField showAll="0"/>
    <pivotField axis="axisRow" showAll="0">
      <items count="5">
        <item x="2"/>
        <item x="0"/>
        <item x="1"/>
        <item x="3"/>
        <item t="default"/>
      </items>
    </pivotField>
    <pivotField numFmtId="3" showAll="0"/>
    <pivotField numFmtId="3" showAll="0"/>
    <pivotField dataField="1" numFmtId="3" showAll="0"/>
    <pivotField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3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84C90-F27F-4593-B17C-21B08F2CAE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6" firstHeaderRow="0" firstDataRow="1" firstDataCol="1"/>
  <pivotFields count="6">
    <pivotField axis="axisRow" showAll="0" sortType="ascending">
      <items count="15">
        <item x="0"/>
        <item x="1"/>
        <item x="2"/>
        <item x="3"/>
        <item x="4"/>
        <item x="5"/>
        <item x="6"/>
        <item x="7"/>
        <item m="1" x="12"/>
        <item m="1" x="13"/>
        <item x="8"/>
        <item x="9"/>
        <item x="10"/>
        <item x="11"/>
        <item t="default"/>
      </items>
    </pivotField>
    <pivotField showAll="0"/>
    <pivotField dataField="1" numFmtId="3" showAll="0"/>
    <pivotField dataField="1" numFmtId="3" showAll="0"/>
    <pivotField dataField="1" numFmtId="3" showAll="0"/>
    <pivotField numFmtId="2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 numFmtId="3"/>
    <dataField name="Sum of Cost" fld="3" baseField="0" baseItem="0" numFmtId="3"/>
    <dataField name="Sum of Profit" fld="4" baseField="0" baseItem="0" numFmtId="3"/>
  </dataField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F0D5-137D-4D77-98ED-9085A1A93F6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G16" firstHeaderRow="1" firstDataRow="1" firstDataCol="1"/>
  <pivotFields count="6">
    <pivotField axis="axisRow" showAll="0" sortType="ascending">
      <items count="15">
        <item x="0"/>
        <item x="1"/>
        <item x="2"/>
        <item x="3"/>
        <item x="4"/>
        <item x="5"/>
        <item x="6"/>
        <item x="7"/>
        <item m="1" x="12"/>
        <item m="1" x="13"/>
        <item x="8"/>
        <item x="9"/>
        <item x="10"/>
        <item x="11"/>
        <item t="default"/>
      </items>
    </pivotField>
    <pivotField showAll="0"/>
    <pivotField numFmtId="3" showAll="0"/>
    <pivotField numFmtId="3" showAll="0"/>
    <pivotField numFmtId="3" showAll="0"/>
    <pivotField dataField="1" numFmtId="2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Profit Margin %" fld="5" subtotal="average" baseField="0" baseItem="0" numFmtId="2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3C281-54B7-479D-BC47-E9ACB4DB3028}" name="Table1" displayName="Table1" ref="A1:F49" totalsRowShown="0">
  <autoFilter ref="A1:F49" xr:uid="{DFE3C281-54B7-479D-BC47-E9ACB4DB3028}"/>
  <tableColumns count="6">
    <tableColumn id="1" xr3:uid="{443137E5-D91F-431B-8272-F0C0B131818D}" name="Month"/>
    <tableColumn id="2" xr3:uid="{D80C215E-70DD-44CF-8515-2EFD73E47640}" name="Division"/>
    <tableColumn id="3" xr3:uid="{86DA02B9-377E-4412-8AD4-1106676D56C6}" name="Revenue" dataDxfId="3"/>
    <tableColumn id="4" xr3:uid="{DC40604D-DFA5-41A7-98BA-D6BB39B88E1E}" name="Cost" dataDxfId="2"/>
    <tableColumn id="5" xr3:uid="{B7B5F468-0C7F-47B4-AF23-7FCFCB613B1D}" name="Profit" dataDxfId="1"/>
    <tableColumn id="6" xr3:uid="{BFA849EE-5919-4E8B-B87B-548600616D41}" name="Profit Margin %" dataDxfId="0">
      <calculatedColumnFormula>Table1[[#This Row],[Profit]]/Table1[[#This Row],[Revenue]]*100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3F6A-0661-4EF2-9A78-5BE9F2FD93D5}">
  <dimension ref="A1:F49"/>
  <sheetViews>
    <sheetView topLeftCell="A19" workbookViewId="0">
      <selection activeCell="L39" sqref="L39"/>
    </sheetView>
  </sheetViews>
  <sheetFormatPr defaultRowHeight="14.4" x14ac:dyDescent="0.3"/>
  <cols>
    <col min="2" max="2" width="9.44140625" customWidth="1"/>
    <col min="3" max="3" width="10.21875" customWidth="1"/>
    <col min="6" max="6" width="16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x14ac:dyDescent="0.3">
      <c r="A2" t="s">
        <v>5</v>
      </c>
      <c r="B2" t="s">
        <v>15</v>
      </c>
      <c r="C2" s="1">
        <v>120000</v>
      </c>
      <c r="D2" s="1">
        <v>85000</v>
      </c>
      <c r="E2" s="1">
        <v>35000</v>
      </c>
      <c r="F2" s="2">
        <f>Table1[[#This Row],[Profit]]/Table1[[#This Row],[Revenue]]*100</f>
        <v>29.166666666666668</v>
      </c>
    </row>
    <row r="3" spans="1:6" x14ac:dyDescent="0.3">
      <c r="A3" t="s">
        <v>5</v>
      </c>
      <c r="B3" t="s">
        <v>16</v>
      </c>
      <c r="C3" s="1">
        <f>SUM(D3,E3)</f>
        <v>95000</v>
      </c>
      <c r="D3" s="1">
        <v>72000</v>
      </c>
      <c r="E3" s="1">
        <v>23000</v>
      </c>
      <c r="F3" s="2">
        <f>Table1[[#This Row],[Profit]]/Table1[[#This Row],[Revenue]]*100</f>
        <v>24.210526315789473</v>
      </c>
    </row>
    <row r="4" spans="1:6" x14ac:dyDescent="0.3">
      <c r="A4" t="s">
        <v>5</v>
      </c>
      <c r="B4" t="s">
        <v>17</v>
      </c>
      <c r="C4" s="1">
        <f t="shared" ref="C4:C47" si="0">SUM(D4,E4)</f>
        <v>110000</v>
      </c>
      <c r="D4" s="1">
        <v>78000</v>
      </c>
      <c r="E4" s="1">
        <v>32000</v>
      </c>
      <c r="F4" s="2">
        <f>Table1[[#This Row],[Profit]]/Table1[[#This Row],[Revenue]]*100</f>
        <v>29.09090909090909</v>
      </c>
    </row>
    <row r="5" spans="1:6" x14ac:dyDescent="0.3">
      <c r="A5" t="s">
        <v>5</v>
      </c>
      <c r="B5" t="s">
        <v>18</v>
      </c>
      <c r="C5" s="1">
        <f t="shared" si="0"/>
        <v>88000</v>
      </c>
      <c r="D5" s="1">
        <v>65000</v>
      </c>
      <c r="E5" s="1">
        <v>23000</v>
      </c>
      <c r="F5" s="2">
        <f>Table1[[#This Row],[Profit]]/Table1[[#This Row],[Revenue]]*100</f>
        <v>26.136363636363637</v>
      </c>
    </row>
    <row r="6" spans="1:6" x14ac:dyDescent="0.3">
      <c r="A6" t="s">
        <v>6</v>
      </c>
      <c r="B6" t="s">
        <v>15</v>
      </c>
      <c r="C6" s="1">
        <f t="shared" si="0"/>
        <v>125000</v>
      </c>
      <c r="D6" s="1">
        <v>87000</v>
      </c>
      <c r="E6" s="1">
        <v>38000</v>
      </c>
      <c r="F6" s="2">
        <f>Table1[[#This Row],[Profit]]/Table1[[#This Row],[Revenue]]*100</f>
        <v>30.4</v>
      </c>
    </row>
    <row r="7" spans="1:6" x14ac:dyDescent="0.3">
      <c r="A7" t="s">
        <v>6</v>
      </c>
      <c r="B7" t="s">
        <v>16</v>
      </c>
      <c r="C7" s="1">
        <f t="shared" si="0"/>
        <v>98000</v>
      </c>
      <c r="D7" s="1">
        <v>74000</v>
      </c>
      <c r="E7" s="1">
        <v>24000</v>
      </c>
      <c r="F7" s="2">
        <f>Table1[[#This Row],[Profit]]/Table1[[#This Row],[Revenue]]*100</f>
        <v>24.489795918367346</v>
      </c>
    </row>
    <row r="8" spans="1:6" x14ac:dyDescent="0.3">
      <c r="A8" t="s">
        <v>6</v>
      </c>
      <c r="B8" t="s">
        <v>17</v>
      </c>
      <c r="C8" s="1">
        <f t="shared" si="0"/>
        <v>115000</v>
      </c>
      <c r="D8" s="1">
        <v>80000</v>
      </c>
      <c r="E8" s="1">
        <v>35000</v>
      </c>
      <c r="F8" s="2">
        <f>Table1[[#This Row],[Profit]]/Table1[[#This Row],[Revenue]]*100</f>
        <v>30.434782608695656</v>
      </c>
    </row>
    <row r="9" spans="1:6" x14ac:dyDescent="0.3">
      <c r="A9" t="s">
        <v>6</v>
      </c>
      <c r="B9" t="s">
        <v>18</v>
      </c>
      <c r="C9" s="1">
        <f t="shared" si="0"/>
        <v>92000</v>
      </c>
      <c r="D9" s="1">
        <v>68000</v>
      </c>
      <c r="E9" s="1">
        <v>24000</v>
      </c>
      <c r="F9" s="2">
        <f>Table1[[#This Row],[Profit]]/Table1[[#This Row],[Revenue]]*100</f>
        <v>26.086956521739129</v>
      </c>
    </row>
    <row r="10" spans="1:6" x14ac:dyDescent="0.3">
      <c r="A10" t="s">
        <v>7</v>
      </c>
      <c r="B10" t="s">
        <v>15</v>
      </c>
      <c r="C10" s="1">
        <f t="shared" si="0"/>
        <v>132000</v>
      </c>
      <c r="D10" s="1">
        <v>90000</v>
      </c>
      <c r="E10" s="1">
        <v>42000</v>
      </c>
      <c r="F10" s="2">
        <f>Table1[[#This Row],[Profit]]/Table1[[#This Row],[Revenue]]*100</f>
        <v>31.818181818181817</v>
      </c>
    </row>
    <row r="11" spans="1:6" x14ac:dyDescent="0.3">
      <c r="A11" t="s">
        <v>7</v>
      </c>
      <c r="B11" t="s">
        <v>16</v>
      </c>
      <c r="C11" s="1">
        <f t="shared" si="0"/>
        <v>102000</v>
      </c>
      <c r="D11" s="1">
        <v>76000</v>
      </c>
      <c r="E11" s="1">
        <v>26000</v>
      </c>
      <c r="F11" s="2">
        <f>Table1[[#This Row],[Profit]]/Table1[[#This Row],[Revenue]]*100</f>
        <v>25.490196078431371</v>
      </c>
    </row>
    <row r="12" spans="1:6" x14ac:dyDescent="0.3">
      <c r="A12" t="s">
        <v>7</v>
      </c>
      <c r="B12" t="s">
        <v>17</v>
      </c>
      <c r="C12" s="1">
        <f t="shared" si="0"/>
        <v>119000</v>
      </c>
      <c r="D12" s="1">
        <v>82000</v>
      </c>
      <c r="E12" s="1">
        <v>37000</v>
      </c>
      <c r="F12" s="2">
        <f>Table1[[#This Row],[Profit]]/Table1[[#This Row],[Revenue]]*100</f>
        <v>31.092436974789916</v>
      </c>
    </row>
    <row r="13" spans="1:6" x14ac:dyDescent="0.3">
      <c r="A13" t="s">
        <v>7</v>
      </c>
      <c r="B13" t="s">
        <v>18</v>
      </c>
      <c r="C13" s="1">
        <f t="shared" si="0"/>
        <v>96000</v>
      </c>
      <c r="D13" s="1">
        <v>70000</v>
      </c>
      <c r="E13" s="1">
        <v>26000</v>
      </c>
      <c r="F13" s="2">
        <f>Table1[[#This Row],[Profit]]/Table1[[#This Row],[Revenue]]*100</f>
        <v>27.083333333333332</v>
      </c>
    </row>
    <row r="14" spans="1:6" x14ac:dyDescent="0.3">
      <c r="A14" t="s">
        <v>8</v>
      </c>
      <c r="B14" t="s">
        <v>15</v>
      </c>
      <c r="C14" s="1">
        <f t="shared" si="0"/>
        <v>128000</v>
      </c>
      <c r="D14" s="1">
        <v>88000</v>
      </c>
      <c r="E14" s="1">
        <v>40000</v>
      </c>
      <c r="F14" s="2">
        <f>Table1[[#This Row],[Profit]]/Table1[[#This Row],[Revenue]]*100</f>
        <v>31.25</v>
      </c>
    </row>
    <row r="15" spans="1:6" x14ac:dyDescent="0.3">
      <c r="A15" t="s">
        <v>8</v>
      </c>
      <c r="B15" t="s">
        <v>16</v>
      </c>
      <c r="C15" s="1">
        <f t="shared" si="0"/>
        <v>105000</v>
      </c>
      <c r="D15" s="1">
        <v>78000</v>
      </c>
      <c r="E15" s="1">
        <v>27000</v>
      </c>
      <c r="F15" s="2">
        <f>Table1[[#This Row],[Profit]]/Table1[[#This Row],[Revenue]]*100</f>
        <v>25.714285714285712</v>
      </c>
    </row>
    <row r="16" spans="1:6" x14ac:dyDescent="0.3">
      <c r="A16" t="s">
        <v>8</v>
      </c>
      <c r="B16" t="s">
        <v>17</v>
      </c>
      <c r="C16" s="1">
        <f t="shared" si="0"/>
        <v>122000</v>
      </c>
      <c r="D16" s="1">
        <v>84000</v>
      </c>
      <c r="E16" s="1">
        <v>38000</v>
      </c>
      <c r="F16" s="2">
        <f>Table1[[#This Row],[Profit]]/Table1[[#This Row],[Revenue]]*100</f>
        <v>31.147540983606557</v>
      </c>
    </row>
    <row r="17" spans="1:6" x14ac:dyDescent="0.3">
      <c r="A17" t="s">
        <v>8</v>
      </c>
      <c r="B17" t="s">
        <v>18</v>
      </c>
      <c r="C17" s="1">
        <f t="shared" si="0"/>
        <v>99000</v>
      </c>
      <c r="D17" s="1">
        <v>72000</v>
      </c>
      <c r="E17" s="1">
        <v>27000</v>
      </c>
      <c r="F17" s="2">
        <f>Table1[[#This Row],[Profit]]/Table1[[#This Row],[Revenue]]*100</f>
        <v>27.27272727272727</v>
      </c>
    </row>
    <row r="18" spans="1:6" x14ac:dyDescent="0.3">
      <c r="A18" t="s">
        <v>9</v>
      </c>
      <c r="B18" t="s">
        <v>15</v>
      </c>
      <c r="C18" s="1">
        <f t="shared" si="0"/>
        <v>135000</v>
      </c>
      <c r="D18" s="1">
        <v>92000</v>
      </c>
      <c r="E18" s="1">
        <v>43000</v>
      </c>
      <c r="F18" s="2">
        <f>Table1[[#This Row],[Profit]]/Table1[[#This Row],[Revenue]]*100</f>
        <v>31.851851851851855</v>
      </c>
    </row>
    <row r="19" spans="1:6" x14ac:dyDescent="0.3">
      <c r="A19" t="s">
        <v>9</v>
      </c>
      <c r="B19" t="s">
        <v>16</v>
      </c>
      <c r="C19" s="1">
        <f t="shared" si="0"/>
        <v>108000</v>
      </c>
      <c r="D19" s="1">
        <v>80000</v>
      </c>
      <c r="E19" s="1">
        <v>28000</v>
      </c>
      <c r="F19" s="2">
        <f>Table1[[#This Row],[Profit]]/Table1[[#This Row],[Revenue]]*100</f>
        <v>25.925925925925924</v>
      </c>
    </row>
    <row r="20" spans="1:6" x14ac:dyDescent="0.3">
      <c r="A20" t="s">
        <v>9</v>
      </c>
      <c r="B20" t="s">
        <v>17</v>
      </c>
      <c r="C20" s="1">
        <f t="shared" si="0"/>
        <v>125000</v>
      </c>
      <c r="D20" s="1">
        <v>86000</v>
      </c>
      <c r="E20" s="1">
        <v>39000</v>
      </c>
      <c r="F20" s="2">
        <f>Table1[[#This Row],[Profit]]/Table1[[#This Row],[Revenue]]*100</f>
        <v>31.2</v>
      </c>
    </row>
    <row r="21" spans="1:6" x14ac:dyDescent="0.3">
      <c r="A21" t="s">
        <v>9</v>
      </c>
      <c r="B21" t="s">
        <v>18</v>
      </c>
      <c r="C21" s="1">
        <f t="shared" si="0"/>
        <v>102000</v>
      </c>
      <c r="D21" s="1">
        <v>74000</v>
      </c>
      <c r="E21" s="1">
        <v>28000</v>
      </c>
      <c r="F21" s="2">
        <f>Table1[[#This Row],[Profit]]/Table1[[#This Row],[Revenue]]*100</f>
        <v>27.450980392156865</v>
      </c>
    </row>
    <row r="22" spans="1:6" x14ac:dyDescent="0.3">
      <c r="A22" t="s">
        <v>30</v>
      </c>
      <c r="B22" t="s">
        <v>15</v>
      </c>
      <c r="C22" s="1">
        <f t="shared" si="0"/>
        <v>140000</v>
      </c>
      <c r="D22" s="1">
        <v>95000</v>
      </c>
      <c r="E22" s="1">
        <v>45000</v>
      </c>
      <c r="F22" s="2">
        <f>Table1[[#This Row],[Profit]]/Table1[[#This Row],[Revenue]]*100</f>
        <v>32.142857142857146</v>
      </c>
    </row>
    <row r="23" spans="1:6" x14ac:dyDescent="0.3">
      <c r="A23" t="s">
        <v>30</v>
      </c>
      <c r="B23" t="s">
        <v>16</v>
      </c>
      <c r="C23" s="1">
        <f t="shared" si="0"/>
        <v>112000</v>
      </c>
      <c r="D23" s="1">
        <v>82000</v>
      </c>
      <c r="E23" s="1">
        <v>30000</v>
      </c>
      <c r="F23" s="2">
        <f>Table1[[#This Row],[Profit]]/Table1[[#This Row],[Revenue]]*100</f>
        <v>26.785714285714285</v>
      </c>
    </row>
    <row r="24" spans="1:6" x14ac:dyDescent="0.3">
      <c r="A24" t="s">
        <v>30</v>
      </c>
      <c r="B24" t="s">
        <v>17</v>
      </c>
      <c r="C24" s="1">
        <f t="shared" si="0"/>
        <v>130000</v>
      </c>
      <c r="D24" s="1">
        <v>89000</v>
      </c>
      <c r="E24" s="1">
        <v>41000</v>
      </c>
      <c r="F24" s="2">
        <f>Table1[[#This Row],[Profit]]/Table1[[#This Row],[Revenue]]*100</f>
        <v>31.538461538461537</v>
      </c>
    </row>
    <row r="25" spans="1:6" x14ac:dyDescent="0.3">
      <c r="A25" t="s">
        <v>30</v>
      </c>
      <c r="B25" t="s">
        <v>18</v>
      </c>
      <c r="C25" s="1">
        <f t="shared" si="0"/>
        <v>106000</v>
      </c>
      <c r="D25" s="1">
        <v>76000</v>
      </c>
      <c r="E25" s="1">
        <v>30000</v>
      </c>
      <c r="F25" s="2">
        <f>Table1[[#This Row],[Profit]]/Table1[[#This Row],[Revenue]]*100</f>
        <v>28.30188679245283</v>
      </c>
    </row>
    <row r="26" spans="1:6" x14ac:dyDescent="0.3">
      <c r="A26" t="s">
        <v>31</v>
      </c>
      <c r="B26" t="s">
        <v>15</v>
      </c>
      <c r="C26" s="1">
        <f t="shared" si="0"/>
        <v>138000</v>
      </c>
      <c r="D26" s="1">
        <v>93000</v>
      </c>
      <c r="E26" s="1">
        <v>45000</v>
      </c>
      <c r="F26" s="2">
        <f>Table1[[#This Row],[Profit]]/Table1[[#This Row],[Revenue]]*100</f>
        <v>32.608695652173914</v>
      </c>
    </row>
    <row r="27" spans="1:6" x14ac:dyDescent="0.3">
      <c r="A27" t="s">
        <v>31</v>
      </c>
      <c r="B27" t="s">
        <v>16</v>
      </c>
      <c r="C27" s="1">
        <f t="shared" si="0"/>
        <v>115000</v>
      </c>
      <c r="D27" s="1">
        <v>84000</v>
      </c>
      <c r="E27" s="1">
        <v>31000</v>
      </c>
      <c r="F27" s="2">
        <f>Table1[[#This Row],[Profit]]/Table1[[#This Row],[Revenue]]*100</f>
        <v>26.956521739130434</v>
      </c>
    </row>
    <row r="28" spans="1:6" x14ac:dyDescent="0.3">
      <c r="A28" t="s">
        <v>31</v>
      </c>
      <c r="B28" t="s">
        <v>17</v>
      </c>
      <c r="C28" s="1">
        <f t="shared" si="0"/>
        <v>128000</v>
      </c>
      <c r="D28" s="1">
        <v>88000</v>
      </c>
      <c r="E28" s="1">
        <v>40000</v>
      </c>
      <c r="F28" s="2">
        <f>Table1[[#This Row],[Profit]]/Table1[[#This Row],[Revenue]]*100</f>
        <v>31.25</v>
      </c>
    </row>
    <row r="29" spans="1:6" x14ac:dyDescent="0.3">
      <c r="A29" t="s">
        <v>31</v>
      </c>
      <c r="B29" t="s">
        <v>18</v>
      </c>
      <c r="C29" s="1">
        <f t="shared" si="0"/>
        <v>109000</v>
      </c>
      <c r="D29" s="1">
        <v>78000</v>
      </c>
      <c r="E29" s="1">
        <v>31000</v>
      </c>
      <c r="F29" s="2">
        <f>Table1[[#This Row],[Profit]]/Table1[[#This Row],[Revenue]]*100</f>
        <v>28.440366972477065</v>
      </c>
    </row>
    <row r="30" spans="1:6" x14ac:dyDescent="0.3">
      <c r="A30" t="s">
        <v>10</v>
      </c>
      <c r="B30" t="s">
        <v>15</v>
      </c>
      <c r="C30" s="1">
        <f t="shared" si="0"/>
        <v>142000</v>
      </c>
      <c r="D30" s="1">
        <v>96000</v>
      </c>
      <c r="E30" s="1">
        <v>46000</v>
      </c>
      <c r="F30" s="2">
        <f>Table1[[#This Row],[Profit]]/Table1[[#This Row],[Revenue]]*100</f>
        <v>32.394366197183103</v>
      </c>
    </row>
    <row r="31" spans="1:6" x14ac:dyDescent="0.3">
      <c r="A31" t="s">
        <v>10</v>
      </c>
      <c r="B31" t="s">
        <v>16</v>
      </c>
      <c r="C31" s="1">
        <f t="shared" si="0"/>
        <v>118000</v>
      </c>
      <c r="D31" s="1">
        <v>86000</v>
      </c>
      <c r="E31" s="1">
        <v>32000</v>
      </c>
      <c r="F31" s="2">
        <f>Table1[[#This Row],[Profit]]/Table1[[#This Row],[Revenue]]*100</f>
        <v>27.118644067796609</v>
      </c>
    </row>
    <row r="32" spans="1:6" x14ac:dyDescent="0.3">
      <c r="A32" t="s">
        <v>10</v>
      </c>
      <c r="B32" t="s">
        <v>17</v>
      </c>
      <c r="C32" s="1">
        <f t="shared" si="0"/>
        <v>132000</v>
      </c>
      <c r="D32" s="1">
        <v>91000</v>
      </c>
      <c r="E32" s="1">
        <v>41000</v>
      </c>
      <c r="F32" s="2">
        <f>Table1[[#This Row],[Profit]]/Table1[[#This Row],[Revenue]]*100</f>
        <v>31.060606060606062</v>
      </c>
    </row>
    <row r="33" spans="1:6" x14ac:dyDescent="0.3">
      <c r="A33" t="s">
        <v>10</v>
      </c>
      <c r="B33" t="s">
        <v>18</v>
      </c>
      <c r="C33" s="1">
        <f t="shared" si="0"/>
        <v>112000</v>
      </c>
      <c r="D33" s="1">
        <v>80000</v>
      </c>
      <c r="E33" s="1">
        <v>32000</v>
      </c>
      <c r="F33" s="2">
        <f>Table1[[#This Row],[Profit]]/Table1[[#This Row],[Revenue]]*100</f>
        <v>28.571428571428569</v>
      </c>
    </row>
    <row r="34" spans="1:6" x14ac:dyDescent="0.3">
      <c r="A34" t="s">
        <v>11</v>
      </c>
      <c r="B34" t="s">
        <v>15</v>
      </c>
      <c r="C34" s="1">
        <f t="shared" si="0"/>
        <v>145000</v>
      </c>
      <c r="D34" s="1">
        <v>98000</v>
      </c>
      <c r="E34" s="1">
        <v>47000</v>
      </c>
      <c r="F34" s="2">
        <f>Table1[[#This Row],[Profit]]/Table1[[#This Row],[Revenue]]*100</f>
        <v>32.41379310344827</v>
      </c>
    </row>
    <row r="35" spans="1:6" x14ac:dyDescent="0.3">
      <c r="A35" t="s">
        <v>11</v>
      </c>
      <c r="B35" t="s">
        <v>16</v>
      </c>
      <c r="C35" s="1">
        <f t="shared" si="0"/>
        <v>121000</v>
      </c>
      <c r="D35" s="1">
        <v>88000</v>
      </c>
      <c r="E35" s="1">
        <v>33000</v>
      </c>
      <c r="F35" s="2">
        <f>Table1[[#This Row],[Profit]]/Table1[[#This Row],[Revenue]]*100</f>
        <v>27.27272727272727</v>
      </c>
    </row>
    <row r="36" spans="1:6" x14ac:dyDescent="0.3">
      <c r="A36" t="s">
        <v>11</v>
      </c>
      <c r="B36" t="s">
        <v>17</v>
      </c>
      <c r="C36" s="1">
        <f t="shared" si="0"/>
        <v>135000</v>
      </c>
      <c r="D36" s="1">
        <v>93000</v>
      </c>
      <c r="E36" s="1">
        <v>42000</v>
      </c>
      <c r="F36" s="2">
        <f>Table1[[#This Row],[Profit]]/Table1[[#This Row],[Revenue]]*100</f>
        <v>31.111111111111111</v>
      </c>
    </row>
    <row r="37" spans="1:6" x14ac:dyDescent="0.3">
      <c r="A37" t="s">
        <v>11</v>
      </c>
      <c r="B37" t="s">
        <v>18</v>
      </c>
      <c r="C37" s="1">
        <f t="shared" si="0"/>
        <v>115000</v>
      </c>
      <c r="D37" s="1">
        <v>82000</v>
      </c>
      <c r="E37" s="1">
        <v>33000</v>
      </c>
      <c r="F37" s="2">
        <f>Table1[[#This Row],[Profit]]/Table1[[#This Row],[Revenue]]*100</f>
        <v>28.695652173913043</v>
      </c>
    </row>
    <row r="38" spans="1:6" x14ac:dyDescent="0.3">
      <c r="A38" t="s">
        <v>12</v>
      </c>
      <c r="B38" t="s">
        <v>15</v>
      </c>
      <c r="C38" s="1">
        <f t="shared" si="0"/>
        <v>150000</v>
      </c>
      <c r="D38" s="1">
        <v>101000</v>
      </c>
      <c r="E38" s="1">
        <v>49000</v>
      </c>
      <c r="F38" s="2">
        <f>Table1[[#This Row],[Profit]]/Table1[[#This Row],[Revenue]]*100</f>
        <v>32.666666666666664</v>
      </c>
    </row>
    <row r="39" spans="1:6" x14ac:dyDescent="0.3">
      <c r="A39" t="s">
        <v>12</v>
      </c>
      <c r="B39" t="s">
        <v>16</v>
      </c>
      <c r="C39" s="1">
        <f t="shared" si="0"/>
        <v>125000</v>
      </c>
      <c r="D39" s="1">
        <v>90000</v>
      </c>
      <c r="E39" s="1">
        <v>35000</v>
      </c>
      <c r="F39" s="2">
        <f>Table1[[#This Row],[Profit]]/Table1[[#This Row],[Revenue]]*100</f>
        <v>28.000000000000004</v>
      </c>
    </row>
    <row r="40" spans="1:6" x14ac:dyDescent="0.3">
      <c r="A40" t="s">
        <v>12</v>
      </c>
      <c r="B40" t="s">
        <v>17</v>
      </c>
      <c r="C40" s="1">
        <f t="shared" si="0"/>
        <v>140000</v>
      </c>
      <c r="D40" s="1">
        <v>96000</v>
      </c>
      <c r="E40" s="1">
        <v>44000</v>
      </c>
      <c r="F40" s="2">
        <f>Table1[[#This Row],[Profit]]/Table1[[#This Row],[Revenue]]*100</f>
        <v>31.428571428571427</v>
      </c>
    </row>
    <row r="41" spans="1:6" x14ac:dyDescent="0.3">
      <c r="A41" t="s">
        <v>12</v>
      </c>
      <c r="B41" t="s">
        <v>18</v>
      </c>
      <c r="C41" s="1">
        <f t="shared" si="0"/>
        <v>119000</v>
      </c>
      <c r="D41" s="1">
        <v>84000</v>
      </c>
      <c r="E41" s="1">
        <v>35000</v>
      </c>
      <c r="F41" s="2">
        <f>Table1[[#This Row],[Profit]]/Table1[[#This Row],[Revenue]]*100</f>
        <v>29.411764705882355</v>
      </c>
    </row>
    <row r="42" spans="1:6" x14ac:dyDescent="0.3">
      <c r="A42" t="s">
        <v>13</v>
      </c>
      <c r="B42" t="s">
        <v>15</v>
      </c>
      <c r="C42" s="1">
        <f t="shared" si="0"/>
        <v>155000</v>
      </c>
      <c r="D42" s="1">
        <v>104000</v>
      </c>
      <c r="E42" s="1">
        <v>51000</v>
      </c>
      <c r="F42" s="2">
        <f>Table1[[#This Row],[Profit]]/Table1[[#This Row],[Revenue]]*100</f>
        <v>32.903225806451616</v>
      </c>
    </row>
    <row r="43" spans="1:6" x14ac:dyDescent="0.3">
      <c r="A43" t="s">
        <v>13</v>
      </c>
      <c r="B43" t="s">
        <v>16</v>
      </c>
      <c r="C43" s="1">
        <f t="shared" si="0"/>
        <v>128000</v>
      </c>
      <c r="D43" s="1">
        <v>92000</v>
      </c>
      <c r="E43" s="1">
        <v>36000</v>
      </c>
      <c r="F43" s="2">
        <f>Table1[[#This Row],[Profit]]/Table1[[#This Row],[Revenue]]*100</f>
        <v>28.125</v>
      </c>
    </row>
    <row r="44" spans="1:6" x14ac:dyDescent="0.3">
      <c r="A44" t="s">
        <v>13</v>
      </c>
      <c r="B44" t="s">
        <v>17</v>
      </c>
      <c r="C44" s="1">
        <f t="shared" si="0"/>
        <v>144000</v>
      </c>
      <c r="D44" s="1">
        <v>98000</v>
      </c>
      <c r="E44" s="1">
        <v>46000</v>
      </c>
      <c r="F44" s="2">
        <f>Table1[[#This Row],[Profit]]/Table1[[#This Row],[Revenue]]*100</f>
        <v>31.944444444444443</v>
      </c>
    </row>
    <row r="45" spans="1:6" x14ac:dyDescent="0.3">
      <c r="A45" t="s">
        <v>13</v>
      </c>
      <c r="B45" t="s">
        <v>18</v>
      </c>
      <c r="C45" s="1">
        <f t="shared" si="0"/>
        <v>122000</v>
      </c>
      <c r="D45" s="1">
        <v>86000</v>
      </c>
      <c r="E45" s="1">
        <v>36000</v>
      </c>
      <c r="F45" s="2">
        <f>Table1[[#This Row],[Profit]]/Table1[[#This Row],[Revenue]]*100</f>
        <v>29.508196721311474</v>
      </c>
    </row>
    <row r="46" spans="1:6" x14ac:dyDescent="0.3">
      <c r="A46" t="s">
        <v>14</v>
      </c>
      <c r="B46" t="s">
        <v>15</v>
      </c>
      <c r="C46" s="1">
        <f t="shared" si="0"/>
        <v>162000</v>
      </c>
      <c r="D46" s="1">
        <v>108000</v>
      </c>
      <c r="E46" s="1">
        <v>54000</v>
      </c>
      <c r="F46" s="2">
        <f>Table1[[#This Row],[Profit]]/Table1[[#This Row],[Revenue]]*100</f>
        <v>33.333333333333329</v>
      </c>
    </row>
    <row r="47" spans="1:6" x14ac:dyDescent="0.3">
      <c r="A47" t="s">
        <v>14</v>
      </c>
      <c r="B47" t="s">
        <v>16</v>
      </c>
      <c r="C47" s="1">
        <f t="shared" si="0"/>
        <v>132000</v>
      </c>
      <c r="D47" s="1">
        <v>95000</v>
      </c>
      <c r="E47" s="1">
        <v>37000</v>
      </c>
      <c r="F47" s="2">
        <f>Table1[[#This Row],[Profit]]/Table1[[#This Row],[Revenue]]*100</f>
        <v>28.030303030303028</v>
      </c>
    </row>
    <row r="48" spans="1:6" x14ac:dyDescent="0.3">
      <c r="A48" t="s">
        <v>14</v>
      </c>
      <c r="B48" t="s">
        <v>17</v>
      </c>
      <c r="C48" s="1">
        <v>150000</v>
      </c>
      <c r="D48" s="1">
        <v>102000</v>
      </c>
      <c r="E48" s="1">
        <v>48000</v>
      </c>
      <c r="F48" s="2">
        <f>Table1[[#This Row],[Profit]]/Table1[[#This Row],[Revenue]]*100</f>
        <v>32</v>
      </c>
    </row>
    <row r="49" spans="1:6" x14ac:dyDescent="0.3">
      <c r="A49" t="s">
        <v>14</v>
      </c>
      <c r="B49" t="s">
        <v>18</v>
      </c>
      <c r="C49" s="1">
        <v>127000</v>
      </c>
      <c r="D49" s="1">
        <v>89000</v>
      </c>
      <c r="E49" s="1">
        <v>38000</v>
      </c>
      <c r="F49" s="2">
        <f>Table1[[#This Row],[Profit]]/Table1[[#This Row],[Revenue]]*100</f>
        <v>29.921259842519689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149A-0BDD-42F7-89C0-20AFC6D0E8A3}">
  <dimension ref="A3:G43"/>
  <sheetViews>
    <sheetView topLeftCell="A15" workbookViewId="0">
      <selection activeCell="F27" sqref="F27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1.109375" bestFit="1" customWidth="1"/>
    <col min="4" max="4" width="12.109375" bestFit="1" customWidth="1"/>
    <col min="6" max="6" width="12.5546875" bestFit="1" customWidth="1"/>
    <col min="7" max="7" width="23.88671875" bestFit="1" customWidth="1"/>
  </cols>
  <sheetData>
    <row r="3" spans="1:7" x14ac:dyDescent="0.3">
      <c r="A3" s="3" t="s">
        <v>24</v>
      </c>
      <c r="B3" t="s">
        <v>26</v>
      </c>
      <c r="C3" t="s">
        <v>27</v>
      </c>
      <c r="D3" t="s">
        <v>28</v>
      </c>
      <c r="F3" s="3" t="s">
        <v>24</v>
      </c>
      <c r="G3" t="s">
        <v>29</v>
      </c>
    </row>
    <row r="4" spans="1:7" x14ac:dyDescent="0.3">
      <c r="A4" s="4" t="s">
        <v>5</v>
      </c>
      <c r="B4" s="1">
        <v>413000</v>
      </c>
      <c r="C4" s="1">
        <v>300000</v>
      </c>
      <c r="D4" s="1">
        <v>113000</v>
      </c>
      <c r="F4" s="4" t="s">
        <v>5</v>
      </c>
      <c r="G4" s="2">
        <v>27.151116427432218</v>
      </c>
    </row>
    <row r="5" spans="1:7" x14ac:dyDescent="0.3">
      <c r="A5" s="4" t="s">
        <v>6</v>
      </c>
      <c r="B5" s="1">
        <v>430000</v>
      </c>
      <c r="C5" s="1">
        <v>309000</v>
      </c>
      <c r="D5" s="1">
        <v>121000</v>
      </c>
      <c r="F5" s="4" t="s">
        <v>6</v>
      </c>
      <c r="G5" s="2">
        <v>27.852883762200531</v>
      </c>
    </row>
    <row r="6" spans="1:7" x14ac:dyDescent="0.3">
      <c r="A6" s="4" t="s">
        <v>7</v>
      </c>
      <c r="B6" s="1">
        <v>449000</v>
      </c>
      <c r="C6" s="1">
        <v>318000</v>
      </c>
      <c r="D6" s="1">
        <v>131000</v>
      </c>
      <c r="F6" s="4" t="s">
        <v>7</v>
      </c>
      <c r="G6" s="2">
        <v>28.871037051184107</v>
      </c>
    </row>
    <row r="7" spans="1:7" x14ac:dyDescent="0.3">
      <c r="A7" s="4" t="s">
        <v>8</v>
      </c>
      <c r="B7" s="1">
        <v>454000</v>
      </c>
      <c r="C7" s="1">
        <v>322000</v>
      </c>
      <c r="D7" s="1">
        <v>132000</v>
      </c>
      <c r="F7" s="4" t="s">
        <v>8</v>
      </c>
      <c r="G7" s="2">
        <v>28.846138492654884</v>
      </c>
    </row>
    <row r="8" spans="1:7" x14ac:dyDescent="0.3">
      <c r="A8" s="4" t="s">
        <v>9</v>
      </c>
      <c r="B8" s="1">
        <v>470000</v>
      </c>
      <c r="C8" s="1">
        <v>332000</v>
      </c>
      <c r="D8" s="1">
        <v>138000</v>
      </c>
      <c r="F8" s="4" t="s">
        <v>9</v>
      </c>
      <c r="G8" s="2">
        <v>29.10718954248366</v>
      </c>
    </row>
    <row r="9" spans="1:7" x14ac:dyDescent="0.3">
      <c r="A9" s="4" t="s">
        <v>30</v>
      </c>
      <c r="B9" s="1">
        <v>488000</v>
      </c>
      <c r="C9" s="1">
        <v>342000</v>
      </c>
      <c r="D9" s="1">
        <v>146000</v>
      </c>
      <c r="F9" s="4" t="s">
        <v>30</v>
      </c>
      <c r="G9" s="2">
        <v>29.692229939871449</v>
      </c>
    </row>
    <row r="10" spans="1:7" x14ac:dyDescent="0.3">
      <c r="A10" s="4" t="s">
        <v>31</v>
      </c>
      <c r="B10" s="1">
        <v>490000</v>
      </c>
      <c r="C10" s="1">
        <v>343000</v>
      </c>
      <c r="D10" s="1">
        <v>147000</v>
      </c>
      <c r="F10" s="4" t="s">
        <v>31</v>
      </c>
      <c r="G10" s="2">
        <v>29.813896090945352</v>
      </c>
    </row>
    <row r="11" spans="1:7" x14ac:dyDescent="0.3">
      <c r="A11" s="4" t="s">
        <v>10</v>
      </c>
      <c r="B11" s="1">
        <v>504000</v>
      </c>
      <c r="C11" s="1">
        <v>353000</v>
      </c>
      <c r="D11" s="1">
        <v>151000</v>
      </c>
      <c r="F11" s="4" t="s">
        <v>10</v>
      </c>
      <c r="G11" s="2">
        <v>29.786261224253586</v>
      </c>
    </row>
    <row r="12" spans="1:7" x14ac:dyDescent="0.3">
      <c r="A12" s="4" t="s">
        <v>11</v>
      </c>
      <c r="B12" s="1">
        <v>516000</v>
      </c>
      <c r="C12" s="1">
        <v>361000</v>
      </c>
      <c r="D12" s="1">
        <v>155000</v>
      </c>
      <c r="F12" s="4" t="s">
        <v>11</v>
      </c>
      <c r="G12" s="2">
        <v>29.873320915299924</v>
      </c>
    </row>
    <row r="13" spans="1:7" x14ac:dyDescent="0.3">
      <c r="A13" s="4" t="s">
        <v>12</v>
      </c>
      <c r="B13" s="1">
        <v>534000</v>
      </c>
      <c r="C13" s="1">
        <v>371000</v>
      </c>
      <c r="D13" s="1">
        <v>163000</v>
      </c>
      <c r="F13" s="4" t="s">
        <v>12</v>
      </c>
      <c r="G13" s="2">
        <v>30.376750700280112</v>
      </c>
    </row>
    <row r="14" spans="1:7" x14ac:dyDescent="0.3">
      <c r="A14" s="4" t="s">
        <v>13</v>
      </c>
      <c r="B14" s="1">
        <v>549000</v>
      </c>
      <c r="C14" s="1">
        <v>380000</v>
      </c>
      <c r="D14" s="1">
        <v>169000</v>
      </c>
      <c r="F14" s="4" t="s">
        <v>13</v>
      </c>
      <c r="G14" s="2">
        <v>30.620216743051884</v>
      </c>
    </row>
    <row r="15" spans="1:7" x14ac:dyDescent="0.3">
      <c r="A15" s="4" t="s">
        <v>14</v>
      </c>
      <c r="B15" s="1">
        <v>571000</v>
      </c>
      <c r="C15" s="1">
        <v>394000</v>
      </c>
      <c r="D15" s="1">
        <v>177000</v>
      </c>
      <c r="F15" s="4" t="s">
        <v>14</v>
      </c>
      <c r="G15" s="2">
        <v>30.821224051539012</v>
      </c>
    </row>
    <row r="16" spans="1:7" x14ac:dyDescent="0.3">
      <c r="A16" s="4" t="s">
        <v>25</v>
      </c>
      <c r="B16" s="1">
        <v>5868000</v>
      </c>
      <c r="C16" s="1">
        <v>4125000</v>
      </c>
      <c r="D16" s="1">
        <v>1743000</v>
      </c>
      <c r="F16" s="4" t="s">
        <v>25</v>
      </c>
      <c r="G16" s="2">
        <v>29.401022078433055</v>
      </c>
    </row>
    <row r="20" spans="1:3" x14ac:dyDescent="0.3">
      <c r="A20" s="3" t="s">
        <v>24</v>
      </c>
      <c r="B20" t="s">
        <v>28</v>
      </c>
    </row>
    <row r="21" spans="1:3" x14ac:dyDescent="0.3">
      <c r="A21" s="4" t="s">
        <v>17</v>
      </c>
      <c r="B21" s="1">
        <v>483000</v>
      </c>
    </row>
    <row r="22" spans="1:3" x14ac:dyDescent="0.3">
      <c r="A22" s="4" t="s">
        <v>15</v>
      </c>
      <c r="B22" s="1">
        <v>535000</v>
      </c>
    </row>
    <row r="23" spans="1:3" x14ac:dyDescent="0.3">
      <c r="A23" s="4" t="s">
        <v>16</v>
      </c>
      <c r="B23" s="1">
        <v>362000</v>
      </c>
    </row>
    <row r="24" spans="1:3" x14ac:dyDescent="0.3">
      <c r="A24" s="4" t="s">
        <v>18</v>
      </c>
      <c r="B24" s="1">
        <v>363000</v>
      </c>
    </row>
    <row r="25" spans="1:3" x14ac:dyDescent="0.3">
      <c r="A25" s="4" t="s">
        <v>25</v>
      </c>
      <c r="B25" s="1">
        <v>1743000</v>
      </c>
    </row>
    <row r="30" spans="1:3" x14ac:dyDescent="0.3">
      <c r="A30" s="3" t="s">
        <v>24</v>
      </c>
      <c r="B30" t="s">
        <v>26</v>
      </c>
      <c r="C30" t="s">
        <v>27</v>
      </c>
    </row>
    <row r="31" spans="1:3" x14ac:dyDescent="0.3">
      <c r="A31" s="4" t="s">
        <v>5</v>
      </c>
      <c r="B31" s="1">
        <v>413000</v>
      </c>
      <c r="C31" s="1">
        <v>300000</v>
      </c>
    </row>
    <row r="32" spans="1:3" x14ac:dyDescent="0.3">
      <c r="A32" s="4" t="s">
        <v>6</v>
      </c>
      <c r="B32" s="1">
        <v>430000</v>
      </c>
      <c r="C32" s="1">
        <v>309000</v>
      </c>
    </row>
    <row r="33" spans="1:3" x14ac:dyDescent="0.3">
      <c r="A33" s="4" t="s">
        <v>7</v>
      </c>
      <c r="B33" s="1">
        <v>449000</v>
      </c>
      <c r="C33" s="1">
        <v>318000</v>
      </c>
    </row>
    <row r="34" spans="1:3" x14ac:dyDescent="0.3">
      <c r="A34" s="4" t="s">
        <v>8</v>
      </c>
      <c r="B34" s="1">
        <v>454000</v>
      </c>
      <c r="C34" s="1">
        <v>322000</v>
      </c>
    </row>
    <row r="35" spans="1:3" x14ac:dyDescent="0.3">
      <c r="A35" s="4" t="s">
        <v>9</v>
      </c>
      <c r="B35" s="1">
        <v>470000</v>
      </c>
      <c r="C35" s="1">
        <v>332000</v>
      </c>
    </row>
    <row r="36" spans="1:3" x14ac:dyDescent="0.3">
      <c r="A36" s="4" t="s">
        <v>30</v>
      </c>
      <c r="B36" s="1">
        <v>488000</v>
      </c>
      <c r="C36" s="1">
        <v>342000</v>
      </c>
    </row>
    <row r="37" spans="1:3" x14ac:dyDescent="0.3">
      <c r="A37" s="4" t="s">
        <v>31</v>
      </c>
      <c r="B37" s="1">
        <v>490000</v>
      </c>
      <c r="C37" s="1">
        <v>343000</v>
      </c>
    </row>
    <row r="38" spans="1:3" x14ac:dyDescent="0.3">
      <c r="A38" s="4" t="s">
        <v>10</v>
      </c>
      <c r="B38" s="1">
        <v>504000</v>
      </c>
      <c r="C38" s="1">
        <v>353000</v>
      </c>
    </row>
    <row r="39" spans="1:3" x14ac:dyDescent="0.3">
      <c r="A39" s="4" t="s">
        <v>11</v>
      </c>
      <c r="B39" s="1">
        <v>516000</v>
      </c>
      <c r="C39" s="1">
        <v>361000</v>
      </c>
    </row>
    <row r="40" spans="1:3" x14ac:dyDescent="0.3">
      <c r="A40" s="4" t="s">
        <v>12</v>
      </c>
      <c r="B40" s="1">
        <v>534000</v>
      </c>
      <c r="C40" s="1">
        <v>371000</v>
      </c>
    </row>
    <row r="41" spans="1:3" x14ac:dyDescent="0.3">
      <c r="A41" s="4" t="s">
        <v>13</v>
      </c>
      <c r="B41" s="1">
        <v>549000</v>
      </c>
      <c r="C41" s="1">
        <v>380000</v>
      </c>
    </row>
    <row r="42" spans="1:3" x14ac:dyDescent="0.3">
      <c r="A42" s="4" t="s">
        <v>14</v>
      </c>
      <c r="B42" s="1">
        <v>571000</v>
      </c>
      <c r="C42" s="1">
        <v>394000</v>
      </c>
    </row>
    <row r="43" spans="1:3" x14ac:dyDescent="0.3">
      <c r="A43" s="4" t="s">
        <v>25</v>
      </c>
      <c r="B43" s="1">
        <v>5868000</v>
      </c>
      <c r="C43" s="1">
        <v>4125000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2DB0E-8718-412E-B526-B2398F7E5160}">
  <dimension ref="A1:P4"/>
  <sheetViews>
    <sheetView tabSelected="1" workbookViewId="0">
      <selection activeCell="G18" sqref="G18"/>
    </sheetView>
  </sheetViews>
  <sheetFormatPr defaultRowHeight="14.4" x14ac:dyDescent="0.3"/>
  <cols>
    <col min="1" max="1" width="28.77734375" bestFit="1" customWidth="1"/>
    <col min="2" max="2" width="16.88671875" bestFit="1" customWidth="1"/>
    <col min="4" max="4" width="13.21875" bestFit="1" customWidth="1"/>
    <col min="6" max="6" width="13.44140625" bestFit="1" customWidth="1"/>
    <col min="8" max="8" width="20.44140625" bestFit="1" customWidth="1"/>
  </cols>
  <sheetData>
    <row r="1" spans="1:16" ht="23.4" x14ac:dyDescent="0.45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ht="23.4" x14ac:dyDescent="0.45">
      <c r="B2" s="9"/>
      <c r="D2" s="9"/>
      <c r="F2" s="9"/>
      <c r="H2" s="9"/>
    </row>
    <row r="3" spans="1:16" x14ac:dyDescent="0.3">
      <c r="B3" s="5" t="s">
        <v>20</v>
      </c>
      <c r="D3" s="5" t="s">
        <v>21</v>
      </c>
      <c r="F3" s="5" t="s">
        <v>22</v>
      </c>
      <c r="H3" s="5" t="s">
        <v>23</v>
      </c>
    </row>
    <row r="4" spans="1:16" x14ac:dyDescent="0.3">
      <c r="B4" s="6">
        <f>SUM(FinancialData!C:C)</f>
        <v>5868000</v>
      </c>
      <c r="D4" s="7">
        <f>SUM(FinancialData!D:D)</f>
        <v>4125000</v>
      </c>
      <c r="F4" s="7">
        <f>SUM(FinancialData!E:E)</f>
        <v>1743000</v>
      </c>
      <c r="H4" s="8">
        <f>AVERAGE(FinancialData!F:F)/100</f>
        <v>0.29401022078433053</v>
      </c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FinancialData</vt:lpstr>
      <vt:lpstr>PivotData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Bhashkar jha</dc:creator>
  <cp:lastModifiedBy>Bhashkar jha</cp:lastModifiedBy>
  <dcterms:created xsi:type="dcterms:W3CDTF">2026-03-22T15:15:51Z</dcterms:created>
  <dcterms:modified xsi:type="dcterms:W3CDTF">2026-03-22T17:05:40Z</dcterms:modified>
</cp:coreProperties>
</file>